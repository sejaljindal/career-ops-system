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220" yWindow="0" windowWidth="10510" windowHeight="12283" tabRatio="600" firstSheet="1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nt log (Gmail)" sheetId="2" state="visible" r:id="rId2"/>
    <sheet xmlns:r="http://schemas.openxmlformats.org/officeDocument/2006/relationships" name="UK Roles" sheetId="3" state="visible" r:id="rId3"/>
    <sheet xmlns:r="http://schemas.openxmlformats.org/officeDocument/2006/relationships" name="India Roles" sheetId="4" state="visible" r:id="rId4"/>
    <sheet xmlns:r="http://schemas.openxmlformats.org/officeDocument/2006/relationships" name="Other Locations" sheetId="5" state="visible" r:id="rId5"/>
  </sheets>
  <definedNames>
    <definedName name="_xlnm._FilterDatabase" localSheetId="2" hidden="1">'UK Roles'!$A$1:$T$423</definedName>
    <definedName name="_xlnm._FilterDatabase" localSheetId="3" hidden="1">'India Roles'!$A$1:$T$125</definedName>
    <definedName name="_xlnm._FilterDatabase" localSheetId="4" hidden="1">'Other Locations'!$A$1:$T$20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color rgb="FF0563C1"/>
      <sz val="11"/>
      <u val="single"/>
    </font>
    <font>
      <name val="Calibri"/>
      <sz val="14"/>
    </font>
    <font>
      <name val="Calibri"/>
      <family val="2"/>
      <color theme="10"/>
      <sz val="11"/>
      <u val="single"/>
      <scheme val="minor"/>
    </font>
    <font>
      <color rgb="000000FF"/>
      <u val="single"/>
    </font>
    <font>
      <b val="1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F8CBA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14" fontId="1" fillId="2" borderId="0" applyAlignment="1" pivotButton="0" quotePrefix="0" xfId="0">
      <alignment vertical="center"/>
    </xf>
    <xf numFmtId="14" fontId="0" fillId="4" borderId="0" pivotButton="0" quotePrefix="0" xfId="0"/>
    <xf numFmtId="14" fontId="0" fillId="0" borderId="0" pivotButton="0" quotePrefix="0" xfId="0"/>
    <xf numFmtId="14" fontId="0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0" pivotButton="0" quotePrefix="0" xfId="1"/>
    <xf numFmtId="0" fontId="0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dxfs count="9"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linkedin.com/jobs/view/4474135845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jobs/view/4448341119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linkedin.com/jobs/view/447187824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4"/>
  <cols>
    <col width="14" customWidth="1" min="1" max="1"/>
    <col width="10" customWidth="1" min="2" max="2"/>
    <col width="24" customWidth="1" min="3" max="3"/>
    <col width="10" customWidth="1" min="4" max="5"/>
  </cols>
  <sheetData>
    <row r="1">
      <c r="A1" s="1" t="inlineStr">
        <is>
          <t>Group</t>
        </is>
      </c>
      <c r="B1" s="1" t="inlineStr">
        <is>
          <t>Roles</t>
        </is>
      </c>
      <c r="C1" s="1" t="inlineStr">
        <is>
          <t>Best-per-company picks</t>
        </is>
      </c>
      <c r="D1" s="1" t="inlineStr">
        <is>
          <t>Fit 4-5</t>
        </is>
      </c>
      <c r="E1" s="1" t="inlineStr">
        <is>
          <t>Closed</t>
        </is>
      </c>
      <c r="F1" t="inlineStr">
        <is>
          <t>Sent</t>
        </is>
      </c>
      <c r="G1" t="inlineStr">
        <is>
          <t>Closed (not sent)</t>
        </is>
      </c>
    </row>
    <row r="2">
      <c r="A2" t="inlineStr">
        <is>
          <t>UK</t>
        </is>
      </c>
      <c r="B2">
        <f>COUNTA('UK Roles'!B:B)-1</f>
        <v/>
      </c>
      <c r="C2">
        <f>COUNTIF('UK Roles'!H:H,"★ Best")</f>
        <v/>
      </c>
      <c r="D2">
        <f>COUNTIF('UK Roles'!G:G,"4")+COUNTIF('UK Roles'!G:G,"5")+COUNTIF('UK Roles'!G:G,"&gt;=4")</f>
        <v/>
      </c>
      <c r="E2">
        <f>COUNTIF('UK Roles'!A:A,"☒ Closed")</f>
        <v/>
      </c>
      <c r="F2">
        <f>COUNTIF('UK Roles'!A:A,"☑")</f>
        <v/>
      </c>
      <c r="G2">
        <f>COUNTIF('UK Roles'!A:A,"☒ Closed")</f>
        <v/>
      </c>
    </row>
    <row r="3">
      <c r="A3" t="inlineStr">
        <is>
          <t>India</t>
        </is>
      </c>
      <c r="B3">
        <f>COUNTA('India Roles'!B:B)-1</f>
        <v/>
      </c>
      <c r="C3">
        <f>COUNTIF('India Roles'!H:H,"★ Best")</f>
        <v/>
      </c>
      <c r="D3">
        <f>COUNTIF('India Roles'!G:G,"4")+COUNTIF('India Roles'!G:G,"5")+COUNTIF('India Roles'!G:G,"&gt;=4")</f>
        <v/>
      </c>
      <c r="E3">
        <f>COUNTIF('India Roles'!A:A,"☒ Closed")</f>
        <v/>
      </c>
      <c r="F3">
        <f>COUNTIF('India Roles'!A:A,"☑")</f>
        <v/>
      </c>
      <c r="G3">
        <f>COUNTIF('India Roles'!A:A,"☒ Closed")</f>
        <v/>
      </c>
    </row>
    <row r="4">
      <c r="A4" t="inlineStr">
        <is>
          <t>Other</t>
        </is>
      </c>
      <c r="B4">
        <f>COUNTA('Other Locations'!B:B)-1</f>
        <v/>
      </c>
      <c r="C4">
        <f>COUNTIF('Other Locations'!H:H,"★ Best")</f>
        <v/>
      </c>
      <c r="D4">
        <f>COUNTIF('Other Locations'!G:G,"4")+COUNTIF('Other Locations'!G:G,"5")+COUNTIF('Other Locations'!G:G,"&gt;=4")</f>
        <v/>
      </c>
      <c r="E4">
        <f>COUNTIF('Other Locations'!A:A,"☒ Closed")</f>
        <v/>
      </c>
      <c r="F4">
        <f>COUNTIF('Other Locations'!A:A,"☑")</f>
        <v/>
      </c>
      <c r="G4">
        <f>COUNTIF('Other Locations'!A:A,"☒ Closed")</f>
        <v/>
      </c>
    </row>
    <row r="5">
      <c r="A5" s="2" t="inlineStr">
        <is>
          <t>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>
        <f>SUM(F2:F4)</f>
        <v/>
      </c>
      <c r="G5">
        <f>SUM(G2:G4)</f>
        <v/>
      </c>
    </row>
    <row r="7">
      <c r="A7" t="inlineStr">
        <is>
          <t>Fit scale: 5 = closest match to PMO / project controls, strategy &amp; ops, finance-linked roles; 1 = poor match. Gold rows = best role per company; red = closed.</t>
        </is>
      </c>
    </row>
    <row r="8">
      <c r="A8" t="inlineStr">
        <is>
          <t>Note: UK roles may need visa sponsorship; roles marked Other (Luxembourg/US) have no CV pipeline.</t>
        </is>
      </c>
    </row>
    <row r="10">
      <c r="A10" t="inlineStr">
        <is>
          <t>Cover letters</t>
        </is>
      </c>
      <c r="B10" t="inlineStr">
        <is>
          <t>Word + PDF for every open role: C:\Users\sejal\jobsearch\Applications\UK|India\CVs and \Cover Letters, all named Sejal_Jindal_&lt;Company&gt;_&lt;Role&gt;_... Tick column A when submitted.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90" customWidth="1" min="3" max="3"/>
    <col width="24" customWidth="1" min="4" max="4"/>
    <col width="44" customWidth="1" min="5" max="5"/>
  </cols>
  <sheetData>
    <row r="1">
      <c r="A1" s="17" t="inlineStr">
        <is>
          <t>Date (from email)</t>
        </is>
      </c>
      <c r="B1" s="17" t="inlineStr">
        <is>
          <t>Company</t>
        </is>
      </c>
      <c r="C1" s="17" t="inlineStr">
        <is>
          <t>Role(s)</t>
        </is>
      </c>
      <c r="D1" s="17" t="inlineStr">
        <is>
          <t>Portal</t>
        </is>
      </c>
      <c r="E1" s="17" t="inlineStr">
        <is>
          <t>Outcome / action</t>
        </is>
      </c>
    </row>
    <row r="2">
      <c r="A2" s="18" t="inlineStr">
        <is>
          <t>2026-01-01</t>
        </is>
      </c>
      <c r="B2" s="18" t="inlineStr">
        <is>
          <t>Example Co</t>
        </is>
      </c>
      <c r="C2" s="18" t="inlineStr">
        <is>
          <t>Operations Analyst</t>
        </is>
      </c>
      <c r="D2" s="18" t="inlineStr">
        <is>
          <t>Workday</t>
        </is>
      </c>
      <c r="E2" s="18" t="inlineStr">
        <is>
          <t>Applied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tabSelected="1" workbookViewId="0">
      <pane xSplit="2" ySplit="2" topLeftCell="M371" activePane="bottomRight" state="frozen"/>
      <selection activeCell="A2" sqref="A2"/>
      <selection pane="topRight" activeCell="A1" sqref="A1"/>
      <selection pane="bottomLeft" activeCell="A1" sqref="A1"/>
      <selection pane="bottomRight" activeCell="M376" sqref="M376"/>
    </sheetView>
  </sheetViews>
  <sheetFormatPr baseColWidth="8" defaultRowHeight="14"/>
  <cols>
    <col width="16" customWidth="1" min="1" max="1"/>
    <col width="19" customWidth="1" min="2" max="2"/>
    <col width="26.69921875" customWidth="1" min="3" max="3"/>
    <col width="26" customWidth="1" min="4" max="4"/>
    <col width="18" customWidth="1" min="5" max="5"/>
    <col width="12" customWidth="1" min="6" max="6"/>
    <col width="6.19921875" customWidth="1" min="7" max="7"/>
    <col width="8.296875" customWidth="1" min="8" max="8"/>
    <col width="6.796875" customWidth="1" min="9" max="9"/>
    <col width="14" customWidth="1" min="10" max="10"/>
    <col width="47.796875" customWidth="1" min="11" max="11"/>
    <col width="16" customWidth="1" min="12" max="12"/>
    <col width="60" customWidth="1" min="13" max="13"/>
    <col width="48" customWidth="1" min="14" max="14"/>
    <col width="44" customWidth="1" min="15" max="16"/>
    <col width="40" customWidth="1" min="17" max="17"/>
    <col width="46" customWidth="1" min="18" max="18"/>
    <col width="38" customWidth="1" min="19" max="19"/>
    <col width="45" customWidth="1" min="20" max="20"/>
    <col width="60" customWidth="1" min="21" max="21"/>
  </cols>
  <sheetData>
    <row r="1">
      <c r="A1" s="11" t="inlineStr">
        <is>
          <t>Sent / Complete</t>
        </is>
      </c>
      <c r="B1" s="3" t="inlineStr">
        <is>
          <t>Company</t>
        </is>
      </c>
      <c r="C1" s="3" t="inlineStr">
        <is>
          <t>Role</t>
        </is>
      </c>
      <c r="D1" s="3" t="inlineStr">
        <is>
          <t>Location</t>
        </is>
      </c>
      <c r="E1" s="3" t="inlineStr">
        <is>
          <t>Posted</t>
        </is>
      </c>
      <c r="F1" s="7" t="inlineStr">
        <is>
          <t>Deadline</t>
        </is>
      </c>
      <c r="G1" s="3" t="inlineStr">
        <is>
          <t>Fit (1-5)</t>
        </is>
      </c>
      <c r="H1" s="3" t="inlineStr">
        <is>
          <t>Best for company</t>
        </is>
      </c>
      <c r="I1" s="3" t="inlineStr">
        <is>
          <t>Status</t>
        </is>
      </c>
      <c r="J1" s="3" t="inlineStr">
        <is>
          <t>CV generated</t>
        </is>
      </c>
      <c r="K1" s="3" t="inlineStr">
        <is>
          <t>Documents required / notes</t>
        </is>
      </c>
      <c r="L1" s="3" t="inlineStr">
        <is>
          <t>JD read?</t>
        </is>
      </c>
      <c r="M1" s="3" t="inlineStr">
        <is>
          <t>CV file name</t>
        </is>
      </c>
      <c r="N1" s="3" t="inlineStr">
        <is>
          <t>CV folder</t>
        </is>
      </c>
      <c r="O1" s="3" t="inlineStr">
        <is>
          <t>Cover letter (Word)</t>
        </is>
      </c>
      <c r="P1" s="3" t="inlineStr">
        <is>
          <t>Cover letter (PDF)</t>
        </is>
      </c>
      <c r="Q1" s="3" t="inlineStr">
        <is>
          <t>Supporting statement (Word + PDF)</t>
        </is>
      </c>
      <c r="R1" s="3" t="inlineStr">
        <is>
          <t>Other documents the JD asks for</t>
        </is>
      </c>
      <c r="S1" s="3" t="inlineStr">
        <is>
          <t>Cover letter folder</t>
        </is>
      </c>
      <c r="T1" s="3" t="inlineStr">
        <is>
          <t>Link</t>
        </is>
      </c>
      <c r="U1" s="3" t="inlineStr">
        <is>
          <t>Sent / closed note</t>
        </is>
      </c>
    </row>
    <row r="2" ht="18.3" customHeight="1">
      <c r="A2" s="19" t="inlineStr">
        <is>
          <t>☐</t>
        </is>
      </c>
      <c r="B2" s="4" t="inlineStr">
        <is>
          <t>Example Co</t>
        </is>
      </c>
      <c r="C2" s="4" t="inlineStr">
        <is>
          <t>Operations Analyst</t>
        </is>
      </c>
      <c r="D2" s="4" t="inlineStr">
        <is>
          <t>London (Hybrid)</t>
        </is>
      </c>
      <c r="E2" s="4" t="inlineStr">
        <is>
          <t>2d ago</t>
        </is>
      </c>
      <c r="F2" s="10" t="inlineStr">
        <is>
          <t>2027-01-31</t>
        </is>
      </c>
      <c r="G2" s="4" t="inlineStr">
        <is>
          <t>4</t>
        </is>
      </c>
      <c r="H2" s="4" t="inlineStr">
        <is>
          <t>★ Best</t>
        </is>
      </c>
      <c r="I2" s="4" t="inlineStr">
        <is>
          <t>Open</t>
        </is>
      </c>
      <c r="J2" s="4" t="inlineStr">
        <is>
          <t>Yes</t>
        </is>
      </c>
      <c r="K2" s="4" t="inlineStr">
        <is>
          <t>Cover letter not required</t>
        </is>
      </c>
      <c r="L2" s="4" t="inlineStr">
        <is>
          <t>Yes - full JD</t>
        </is>
      </c>
      <c r="M2" s="4" t="inlineStr">
        <is>
          <t>FirstName_LastName_Example-Co_Operations-Analyst_CV  (.docx + .pdf)</t>
        </is>
      </c>
      <c r="N2" s="4" t="inlineStr">
        <is>
          <t>C:\path\to\Applications\UK\CVs</t>
        </is>
      </c>
      <c r="O2" s="13" t="inlineStr">
        <is>
          <t>FirstName_LastName_Example-Co_Operations-Analyst_Cover-Letter.docx</t>
        </is>
      </c>
      <c r="P2" s="13" t="inlineStr">
        <is>
          <t>FirstName_LastName_Example-Co_Operations-Analyst_Cover-Letter.pdf</t>
        </is>
      </c>
      <c r="Q2" s="13" t="n"/>
      <c r="R2" s="13" t="inlineStr">
        <is>
          <t>None found in JD</t>
        </is>
      </c>
      <c r="S2" s="13" t="inlineStr">
        <is>
          <t>C:\path\to\Applications\UK\Cover Letters</t>
        </is>
      </c>
      <c r="T2" s="5" t="inlineStr">
        <is>
          <t>https://example.com/job/123</t>
        </is>
      </c>
    </row>
    <row r="3" ht="18.3" customHeight="1"/>
    <row r="4" ht="18.3" customHeight="1"/>
    <row r="5" ht="18.3" customHeight="1"/>
    <row r="6" ht="18.3" customHeight="1"/>
    <row r="7" ht="18.3" customHeight="1"/>
    <row r="8" ht="18.3" customHeight="1"/>
    <row r="9" ht="18.3" customHeight="1"/>
    <row r="10" ht="18.3" customHeight="1"/>
    <row r="11" ht="18.3" customHeight="1"/>
    <row r="12" ht="18.3" customHeight="1"/>
    <row r="13" ht="18.3" customHeight="1"/>
    <row r="14" ht="18.3" customHeight="1"/>
    <row r="15" ht="18.3" customHeight="1"/>
    <row r="16" ht="18.3" customHeight="1"/>
    <row r="17" ht="18.3" customHeight="1"/>
    <row r="18" ht="18.3" customHeight="1"/>
    <row r="19" ht="18.3" customHeight="1"/>
    <row r="20" ht="18.3" customHeight="1"/>
    <row r="21" ht="18.3" customHeight="1"/>
    <row r="22" ht="18.3" customHeight="1"/>
    <row r="23" ht="18.3" customHeight="1"/>
    <row r="24" ht="18.3" customHeight="1"/>
    <row r="25" ht="18.3" customHeight="1"/>
    <row r="26" ht="18.3" customHeight="1"/>
    <row r="27" ht="18.3" customHeight="1"/>
    <row r="28" ht="18.3" customHeight="1"/>
    <row r="29" ht="18.3" customHeight="1"/>
    <row r="30" ht="18.3" customHeight="1"/>
    <row r="31" ht="18.3" customHeight="1"/>
    <row r="32" ht="18.3" customHeight="1"/>
    <row r="33" ht="18.3" customHeight="1"/>
    <row r="34" ht="18.3" customHeight="1"/>
    <row r="35" ht="18.3" customHeight="1"/>
    <row r="36" ht="18.3" customHeight="1"/>
    <row r="37" ht="18.3" customHeight="1"/>
    <row r="38" ht="18.3" customHeight="1"/>
    <row r="39" ht="18.3" customHeight="1"/>
    <row r="40" ht="18.3" customHeight="1"/>
    <row r="41" ht="18.3" customHeight="1"/>
    <row r="42" ht="18.3" customHeight="1"/>
    <row r="43" ht="18.3" customHeight="1"/>
    <row r="44" ht="18.3" customHeight="1"/>
    <row r="45" ht="18.3" customHeight="1"/>
    <row r="46" ht="18.3" customHeight="1"/>
    <row r="47" ht="18.3" customHeight="1"/>
    <row r="48" ht="18.3" customHeight="1"/>
    <row r="49" ht="18.3" customHeight="1"/>
    <row r="50" ht="18.3" customHeight="1"/>
    <row r="51" ht="18.3" customHeight="1"/>
    <row r="52" ht="18.3" customHeight="1"/>
    <row r="53" ht="18.3" customHeight="1"/>
    <row r="54" ht="18.3" customHeight="1"/>
    <row r="55" ht="18.3" customHeight="1"/>
    <row r="56" ht="18.3" customHeight="1"/>
    <row r="57" ht="18.3" customHeight="1"/>
    <row r="58" ht="18.3" customHeight="1"/>
    <row r="59" ht="18.3" customHeight="1"/>
    <row r="60" ht="18.3" customHeight="1"/>
    <row r="61" ht="18.3" customHeight="1"/>
    <row r="62" ht="18.3" customHeight="1"/>
    <row r="63" ht="18.3" customHeight="1"/>
    <row r="64" ht="18.3" customHeight="1"/>
    <row r="65" ht="18.3" customHeight="1"/>
    <row r="66" ht="18.3" customHeight="1"/>
    <row r="67" ht="18.3" customHeight="1"/>
    <row r="68" ht="18.3" customHeight="1"/>
    <row r="69" ht="18.3" customHeight="1"/>
    <row r="70" ht="18.3" customHeight="1"/>
    <row r="71" ht="18.3" customHeight="1"/>
    <row r="72" ht="18.3" customHeight="1"/>
    <row r="73" ht="18.3" customHeight="1"/>
    <row r="74" ht="18.3" customHeight="1"/>
    <row r="75" ht="18.3" customHeight="1"/>
    <row r="76" ht="18.3" customHeight="1"/>
    <row r="77" ht="18.3" customHeight="1"/>
    <row r="78" ht="18.3" customHeight="1"/>
    <row r="79" ht="18.3" customHeight="1"/>
    <row r="80" ht="18.3" customHeight="1"/>
    <row r="81" ht="18.3" customHeight="1"/>
    <row r="82" ht="18.3" customHeight="1"/>
    <row r="83" ht="18.3" customHeight="1"/>
    <row r="84" ht="18.3" customHeight="1"/>
    <row r="85" ht="18.3" customHeight="1"/>
    <row r="86" ht="18.3" customHeight="1"/>
    <row r="87" ht="18.3" customHeight="1"/>
    <row r="88" ht="18.3" customHeight="1"/>
    <row r="89" ht="18.3" customHeight="1"/>
    <row r="90" ht="18.3" customHeight="1"/>
    <row r="91" ht="18.3" customHeight="1"/>
    <row r="92" ht="18.3" customHeight="1"/>
    <row r="93" ht="18.3" customHeight="1"/>
    <row r="94" ht="18.3" customHeight="1"/>
    <row r="95" ht="18.3" customHeight="1"/>
    <row r="96" ht="18.3" customHeight="1"/>
    <row r="97" ht="18.3" customHeight="1"/>
    <row r="98" ht="18.3" customHeight="1"/>
    <row r="99" ht="18.3" customHeight="1"/>
    <row r="100" ht="18.3" customHeight="1"/>
    <row r="101" ht="18.3" customHeight="1"/>
    <row r="102" ht="18.3" customHeight="1"/>
    <row r="103" ht="18.3" customHeight="1"/>
    <row r="104" ht="18.3" customHeight="1"/>
    <row r="105" ht="18.3" customHeight="1"/>
    <row r="106" ht="18.3" customHeight="1"/>
    <row r="107" ht="18.3" customHeight="1"/>
    <row r="108" ht="18.3" customHeight="1"/>
    <row r="109" ht="18.3" customHeight="1"/>
    <row r="110" ht="18.3" customHeight="1"/>
    <row r="111" ht="18.3" customHeight="1"/>
    <row r="112" ht="18.3" customHeight="1"/>
    <row r="113" ht="18.3" customHeight="1"/>
    <row r="114" ht="18.3" customHeight="1"/>
    <row r="115" ht="18.3" customHeight="1"/>
    <row r="116" ht="18.3" customHeight="1"/>
    <row r="117" ht="18.3" customHeight="1"/>
    <row r="118" ht="18.3" customHeight="1"/>
    <row r="119" ht="18.3" customHeight="1"/>
    <row r="120" ht="18.3" customHeight="1"/>
    <row r="121" ht="18.3" customHeight="1"/>
    <row r="122" ht="18.3" customHeight="1"/>
    <row r="123" ht="18.3" customHeight="1"/>
    <row r="124" ht="18.3" customHeight="1"/>
    <row r="125" ht="18.3" customHeight="1"/>
    <row r="126" ht="18.3" customHeight="1"/>
    <row r="127" ht="18.3" customHeight="1"/>
    <row r="128" ht="18.3" customHeight="1"/>
    <row r="129" ht="18.3" customHeight="1"/>
    <row r="130" ht="18.3" customHeight="1"/>
    <row r="131" ht="18.3" customHeight="1"/>
    <row r="132" ht="18.3" customHeight="1"/>
    <row r="133" ht="18.3" customHeight="1"/>
    <row r="134" ht="18.3" customHeight="1"/>
    <row r="135" ht="18.3" customHeight="1"/>
    <row r="136" ht="18.3" customHeight="1"/>
    <row r="137" ht="18.3" customHeight="1"/>
    <row r="138" ht="18.3" customHeight="1"/>
    <row r="139" ht="18.3" customHeight="1"/>
    <row r="140" ht="18.3" customHeight="1"/>
    <row r="141" ht="18.3" customHeight="1"/>
    <row r="142" ht="18.3" customHeight="1"/>
    <row r="143" ht="18.3" customHeight="1"/>
    <row r="144" ht="18.3" customHeight="1"/>
    <row r="145" ht="18.3" customHeight="1"/>
    <row r="146" ht="18.3" customHeight="1"/>
    <row r="147" ht="18.3" customHeight="1"/>
    <row r="148" ht="18.3" customHeight="1"/>
    <row r="149" ht="18.3" customHeight="1"/>
    <row r="150" ht="18.3" customHeight="1"/>
    <row r="151" ht="18.3" customHeight="1"/>
    <row r="152" ht="18.3" customHeight="1"/>
    <row r="153" ht="18.3" customHeight="1"/>
    <row r="154" ht="18.3" customHeight="1"/>
    <row r="155" ht="18.3" customHeight="1"/>
    <row r="156" ht="18.3" customHeight="1"/>
    <row r="157" ht="18.3" customHeight="1"/>
    <row r="158" ht="18.3" customHeight="1"/>
    <row r="159" ht="18.3" customHeight="1"/>
    <row r="160" ht="18.3" customHeight="1"/>
    <row r="161" ht="18.3" customHeight="1"/>
    <row r="162" ht="18.3" customHeight="1"/>
    <row r="163" ht="18.3" customHeight="1"/>
    <row r="164" ht="18.3" customHeight="1"/>
    <row r="165" ht="18.3" customHeight="1"/>
    <row r="166" ht="18.3" customHeight="1"/>
    <row r="167" ht="18.3" customHeight="1"/>
    <row r="168" ht="18.3" customHeight="1"/>
    <row r="169" ht="18.3" customHeight="1"/>
    <row r="170" ht="18.3" customHeight="1"/>
    <row r="171" ht="18.3" customHeight="1"/>
    <row r="172" ht="18.3" customHeight="1"/>
    <row r="173" ht="18.3" customHeight="1"/>
    <row r="174" ht="18.3" customHeight="1"/>
    <row r="175" ht="18.3" customHeight="1"/>
    <row r="176" ht="18.3" customHeight="1"/>
    <row r="177" ht="18.3" customHeight="1"/>
    <row r="178" ht="18.3" customHeight="1"/>
    <row r="179" ht="18.3" customHeight="1"/>
    <row r="180" ht="18.3" customHeight="1"/>
    <row r="181" ht="18.3" customHeight="1"/>
    <row r="182" ht="18.3" customHeight="1"/>
    <row r="183" ht="18.3" customHeight="1"/>
    <row r="184" ht="18.3" customHeight="1"/>
    <row r="185" ht="18.3" customHeight="1"/>
    <row r="186" ht="18.3" customHeight="1"/>
    <row r="187" ht="18.3" customHeight="1"/>
    <row r="188" ht="18.3" customHeight="1"/>
    <row r="189" ht="18.3" customHeight="1"/>
    <row r="190" ht="18.3" customHeight="1"/>
    <row r="191" ht="18.3" customHeight="1"/>
    <row r="192" ht="18.3" customHeight="1"/>
    <row r="193" ht="18.3" customHeight="1"/>
    <row r="194" ht="18.3" customHeight="1"/>
    <row r="195" ht="18.3" customHeight="1"/>
    <row r="196" ht="18.3" customHeight="1"/>
    <row r="197" ht="18.3" customHeight="1"/>
    <row r="198" ht="18.3" customHeight="1"/>
    <row r="199" ht="18.3" customHeight="1"/>
    <row r="200" ht="18.3" customHeight="1"/>
    <row r="201" ht="18.3" customHeight="1"/>
    <row r="202" ht="18.3" customHeight="1"/>
    <row r="203" ht="18.3" customHeight="1"/>
    <row r="204" ht="18.3" customHeight="1"/>
    <row r="205" ht="18.3" customHeight="1"/>
    <row r="206" ht="18.3" customHeight="1"/>
    <row r="207" ht="18.3" customHeight="1"/>
    <row r="208" ht="18.3" customHeight="1"/>
    <row r="209" ht="18.3" customHeight="1"/>
    <row r="210" ht="18.3" customHeight="1"/>
    <row r="211" ht="18.3" customHeight="1"/>
    <row r="212" ht="18.3" customHeight="1"/>
    <row r="213" ht="18.3" customHeight="1"/>
    <row r="214" ht="18.3" customHeight="1"/>
    <row r="215" ht="18.3" customHeight="1"/>
    <row r="216" ht="18.3" customHeight="1"/>
    <row r="217" ht="18.3" customHeight="1"/>
    <row r="218" ht="18.3" customHeight="1"/>
    <row r="219" ht="18.3" customHeight="1"/>
    <row r="220" ht="18.3" customHeight="1"/>
    <row r="221" ht="18.3" customHeight="1"/>
    <row r="222" ht="18.3" customHeight="1"/>
    <row r="223" ht="18.3" customHeight="1"/>
    <row r="224" ht="18.3" customHeight="1"/>
    <row r="225" ht="18.3" customHeight="1"/>
    <row r="226" ht="18.3" customHeight="1"/>
    <row r="227" ht="18.3" customHeight="1"/>
    <row r="228" ht="18.3" customHeight="1"/>
    <row r="229" ht="18.3" customHeight="1"/>
    <row r="230" ht="18.3" customHeight="1"/>
    <row r="231" ht="18.3" customHeight="1"/>
    <row r="232" ht="18.3" customHeight="1"/>
    <row r="233" ht="18.3" customHeight="1"/>
    <row r="234" ht="18.3" customHeight="1"/>
    <row r="235" ht="18.3" customHeight="1"/>
    <row r="236" ht="18.3" customHeight="1"/>
    <row r="237" ht="18.3" customHeight="1"/>
    <row r="238" ht="18.3" customHeight="1"/>
    <row r="239" ht="18.3" customHeight="1"/>
    <row r="240" ht="18.3" customHeight="1"/>
    <row r="241" ht="18.3" customHeight="1"/>
    <row r="242" ht="18.3" customHeight="1"/>
    <row r="243" ht="18.3" customHeight="1"/>
    <row r="244" ht="18.3" customHeight="1"/>
    <row r="245" ht="18.3" customHeight="1"/>
    <row r="246" ht="18.3" customHeight="1"/>
    <row r="247" ht="18.3" customHeight="1"/>
    <row r="248" ht="18.3" customHeight="1"/>
    <row r="249" ht="18.3" customHeight="1"/>
    <row r="250" ht="18.3" customHeight="1"/>
    <row r="251" ht="18.3" customHeight="1"/>
    <row r="252" ht="18.3" customHeight="1"/>
    <row r="253" ht="18.3" customHeight="1"/>
    <row r="254" ht="18.3" customHeight="1"/>
    <row r="255" ht="18.3" customHeight="1"/>
    <row r="256" ht="18.3" customHeight="1"/>
    <row r="257" ht="18.3" customHeight="1"/>
    <row r="258" ht="18.3" customHeight="1"/>
    <row r="259" ht="18.3" customHeight="1"/>
    <row r="260" ht="18.3" customHeight="1"/>
    <row r="261" ht="18.3" customHeight="1"/>
    <row r="262" ht="18.3" customHeight="1"/>
    <row r="263" ht="18.3" customHeight="1"/>
    <row r="264" ht="18.3" customHeight="1"/>
    <row r="265" ht="18.3" customHeight="1"/>
    <row r="266" ht="18.3" customHeight="1"/>
    <row r="267" ht="18.3" customHeight="1"/>
    <row r="268" ht="18.3" customHeight="1"/>
    <row r="269" ht="18.3" customHeight="1"/>
    <row r="270" ht="18.3" customHeight="1"/>
    <row r="271" ht="18.3" customHeight="1"/>
    <row r="272" ht="18.3" customHeight="1"/>
    <row r="273" ht="18.3" customHeight="1"/>
    <row r="274" ht="18.3" customHeight="1"/>
    <row r="275" ht="18.3" customHeight="1"/>
    <row r="276" ht="18.3" customHeight="1"/>
    <row r="277" ht="18.3" customHeight="1"/>
    <row r="278" ht="18.3" customHeight="1"/>
    <row r="279" ht="18.3" customHeight="1"/>
    <row r="280" ht="18.3" customHeight="1"/>
    <row r="281" ht="18.3" customHeight="1"/>
    <row r="282" ht="18.3" customHeight="1"/>
    <row r="283" ht="18.3" customHeight="1"/>
    <row r="284" ht="18.3" customHeight="1"/>
    <row r="285" ht="18.3" customHeight="1"/>
    <row r="286" ht="18.3" customHeight="1"/>
    <row r="287" ht="18.3" customHeight="1"/>
    <row r="288" ht="18.3" customHeight="1"/>
    <row r="289" ht="18.3" customHeight="1"/>
    <row r="290" ht="18.3" customHeight="1"/>
    <row r="291" ht="18.3" customHeight="1"/>
    <row r="292" ht="18.3" customHeight="1"/>
    <row r="293" ht="18.3" customHeight="1"/>
    <row r="294" ht="18.3" customHeight="1"/>
    <row r="295" ht="18.3" customHeight="1"/>
    <row r="296" ht="18.3" customHeight="1"/>
    <row r="297" ht="18.3" customHeight="1"/>
    <row r="298" ht="18.3" customHeight="1"/>
    <row r="299" ht="18.3" customHeight="1"/>
    <row r="300" ht="18.3" customHeight="1"/>
    <row r="301" ht="18.3" customHeight="1"/>
    <row r="302" ht="18.3" customHeight="1"/>
    <row r="303" ht="18.3" customHeight="1"/>
    <row r="304" ht="18.3" customHeight="1"/>
    <row r="305" ht="18.3" customHeight="1"/>
    <row r="306" ht="18.3" customHeight="1"/>
    <row r="307" ht="18.3" customHeight="1"/>
    <row r="308" ht="18.3" customHeight="1"/>
    <row r="309" ht="18.3" customHeight="1"/>
    <row r="310" ht="18.3" customHeight="1"/>
    <row r="311" ht="18.3" customHeight="1"/>
    <row r="312" ht="18.3" customHeight="1"/>
    <row r="313" ht="18.3" customHeight="1"/>
    <row r="314" ht="18.3" customHeight="1"/>
    <row r="315" ht="18.3" customHeight="1"/>
    <row r="316" ht="18.3" customHeight="1"/>
    <row r="317" ht="18.3" customHeight="1"/>
    <row r="318" ht="18.3" customHeight="1"/>
    <row r="319" ht="18.3" customHeight="1"/>
    <row r="320" ht="18.3" customHeight="1"/>
    <row r="321" ht="18.3" customHeight="1"/>
    <row r="322" ht="18.3" customHeight="1"/>
    <row r="323" ht="18.3" customHeight="1"/>
    <row r="324" ht="18.3" customHeight="1"/>
    <row r="325" ht="18.3" customHeight="1"/>
    <row r="326" ht="18.3" customHeight="1"/>
    <row r="327" ht="18.3" customHeight="1"/>
    <row r="328" ht="18.3" customHeight="1"/>
    <row r="329" ht="18.3" customHeight="1"/>
    <row r="330" ht="18.3" customHeight="1"/>
    <row r="331" ht="18.3" customHeight="1"/>
    <row r="332" ht="18.3" customHeight="1"/>
    <row r="333" ht="18.3" customHeight="1"/>
    <row r="334" ht="18.3" customHeight="1"/>
    <row r="335" ht="18.3" customHeight="1"/>
    <row r="336" ht="18.3" customHeight="1"/>
    <row r="337" ht="18.3" customHeight="1"/>
    <row r="338" ht="18.3" customHeight="1"/>
    <row r="339" ht="18.3" customHeight="1"/>
    <row r="340" ht="18.3" customHeight="1"/>
    <row r="341" ht="18.3" customHeight="1"/>
    <row r="342" ht="18.3" customHeight="1"/>
    <row r="343" ht="18.3" customHeight="1"/>
    <row r="344" ht="18.3" customHeight="1"/>
    <row r="345" ht="18.3" customHeight="1"/>
    <row r="346" ht="18.3" customHeight="1"/>
    <row r="347" ht="18.3" customHeight="1"/>
    <row r="348" ht="18.3" customHeight="1"/>
    <row r="349" ht="18.3" customHeight="1"/>
    <row r="350" ht="18.3" customHeight="1"/>
    <row r="351" ht="18.3" customHeight="1"/>
    <row r="352" ht="18.3" customHeight="1"/>
    <row r="353" ht="18.3" customHeight="1"/>
    <row r="354" ht="18.3" customHeight="1"/>
    <row r="355" ht="18.3" customHeight="1"/>
    <row r="356" ht="18.3" customHeight="1"/>
    <row r="357" ht="18.3" customHeight="1"/>
    <row r="358" ht="18.3" customHeight="1"/>
    <row r="359" ht="18.3" customHeight="1"/>
    <row r="360" ht="18.3" customHeight="1"/>
    <row r="361" ht="18.3" customHeight="1"/>
    <row r="362" ht="18.3" customHeight="1"/>
    <row r="363" ht="18.3" customHeight="1"/>
    <row r="364" ht="18.3" customHeight="1"/>
    <row r="365" ht="18.3" customHeight="1"/>
    <row r="366" ht="18.3" customHeight="1"/>
    <row r="367" ht="18.3" customHeight="1"/>
    <row r="368" ht="18.3" customHeight="1"/>
    <row r="369" ht="18.3" customHeight="1"/>
    <row r="370" ht="18.3" customHeight="1"/>
    <row r="371" ht="18.3" customHeight="1"/>
    <row r="372" ht="18.3" customHeight="1"/>
    <row r="373" ht="18.3" customHeight="1"/>
    <row r="374" ht="18.3" customHeight="1"/>
    <row r="375" ht="18.3" customHeight="1"/>
    <row r="376" ht="18.3" customHeight="1"/>
    <row r="377" ht="18.3" customHeight="1"/>
    <row r="378" ht="18.3" customHeight="1"/>
    <row r="379" ht="18.3" customHeight="1"/>
    <row r="380" ht="18.3" customHeight="1"/>
    <row r="381" ht="18.3" customHeight="1"/>
    <row r="382" ht="18.3" customHeight="1"/>
    <row r="383" ht="18.3" customHeight="1"/>
    <row r="384" ht="18.3" customHeight="1"/>
    <row r="385" ht="18.3" customHeight="1"/>
    <row r="386" ht="18.3" customHeight="1"/>
    <row r="387" ht="18.3" customHeight="1"/>
    <row r="388" ht="18.3" customHeight="1"/>
    <row r="389" ht="18.3" customHeight="1"/>
    <row r="390" ht="18.3" customHeight="1"/>
    <row r="391" ht="18.3" customHeight="1"/>
    <row r="392" ht="18.3" customHeight="1"/>
    <row r="393" ht="18.3" customHeight="1"/>
    <row r="394" ht="18.3" customHeight="1"/>
    <row r="395" ht="18.3" customHeight="1"/>
    <row r="396" ht="18.3" customHeight="1"/>
    <row r="397" ht="18.3" customHeight="1"/>
    <row r="398" ht="18.3" customHeight="1"/>
    <row r="399" ht="18.3" customHeight="1"/>
    <row r="400" ht="18.3" customHeight="1"/>
  </sheetData>
  <autoFilter ref="A1:T423">
    <sortState ref="A2:N400">
      <sortCondition ref="A1:A400"/>
    </sortState>
  </autoFilter>
  <conditionalFormatting sqref="A2:O700">
    <cfRule type="expression" priority="1" dxfId="0">
      <formula>$A2="☑"</formula>
    </cfRule>
  </conditionalFormatting>
  <conditionalFormatting sqref="A2:A423">
    <cfRule type="expression" priority="2" dxfId="7">
      <formula>$A2="☑"</formula>
    </cfRule>
    <cfRule type="expression" priority="3" dxfId="8">
      <formula>LEFT($A2,1)="☒"</formula>
    </cfRule>
  </conditionalFormatting>
  <dataValidations count="2">
    <dataValidation sqref="A2:A700" showDropDown="0" showInputMessage="0" showErrorMessage="0" allowBlank="1" type="list">
      <formula1>"☐,☑"</formula1>
    </dataValidation>
    <dataValidation sqref="A2:A700" showDropDown="0" showInputMessage="0" showErrorMessage="0" allowBlank="1" error="Pick ☐ (not sent), ☑ (sent) or ☒ Closed" type="list">
      <formula1>"☐,☑,☒ Closed"</formula1>
    </dataValidation>
  </dataValidations>
  <hyperlinks>
    <hyperlink xmlns:r="http://schemas.openxmlformats.org/officeDocument/2006/relationships" ref="O2" r:id="rId1"/>
  </hyperlink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2" ySplit="1" topLeftCell="C63" activePane="bottomRight" state="frozen"/>
      <selection activeCell="A2" sqref="A2"/>
      <selection pane="topRight" activeCell="A1" sqref="A1"/>
      <selection pane="bottomLeft" activeCell="A1" sqref="A1"/>
      <selection pane="bottomRight" activeCell="C2" sqref="C2"/>
    </sheetView>
  </sheetViews>
  <sheetFormatPr baseColWidth="8" defaultRowHeight="14"/>
  <cols>
    <col width="16" customWidth="1" min="1" max="1"/>
    <col width="32" customWidth="1" min="2" max="2"/>
    <col width="48" customWidth="1" min="3" max="3"/>
    <col width="26" customWidth="1" min="4" max="4"/>
    <col width="18" customWidth="1" min="5" max="5"/>
    <col width="12" customWidth="1" min="6" max="6"/>
    <col width="10" customWidth="1" min="7" max="7"/>
    <col width="16" customWidth="1" min="8" max="8"/>
    <col width="22" customWidth="1" min="9" max="9"/>
    <col width="14" customWidth="1" min="10" max="10"/>
    <col width="52" customWidth="1" min="11" max="11"/>
    <col width="16" customWidth="1" min="12" max="12"/>
    <col width="60" customWidth="1" min="13" max="13"/>
    <col width="48" customWidth="1" min="14" max="14"/>
    <col width="44" customWidth="1" min="15" max="16"/>
    <col width="40" customWidth="1" min="17" max="17"/>
    <col width="46" customWidth="1" min="18" max="18"/>
    <col width="38" customWidth="1" min="19" max="19"/>
    <col width="45" customWidth="1" min="20" max="20"/>
    <col width="60" customWidth="1" min="21" max="21"/>
  </cols>
  <sheetData>
    <row r="1">
      <c r="A1" s="11" t="inlineStr">
        <is>
          <t>Sent / Complete</t>
        </is>
      </c>
      <c r="B1" s="3" t="inlineStr">
        <is>
          <t>Company</t>
        </is>
      </c>
      <c r="C1" s="3" t="inlineStr">
        <is>
          <t>Role</t>
        </is>
      </c>
      <c r="D1" s="3" t="inlineStr">
        <is>
          <t>Location</t>
        </is>
      </c>
      <c r="E1" s="3" t="inlineStr">
        <is>
          <t>Posted</t>
        </is>
      </c>
      <c r="F1" s="3" t="inlineStr">
        <is>
          <t>Deadline</t>
        </is>
      </c>
      <c r="G1" s="3" t="inlineStr">
        <is>
          <t>Fit (1-5)</t>
        </is>
      </c>
      <c r="H1" s="3" t="inlineStr">
        <is>
          <t>Best for company</t>
        </is>
      </c>
      <c r="I1" s="3" t="inlineStr">
        <is>
          <t>Status</t>
        </is>
      </c>
      <c r="J1" s="3" t="inlineStr">
        <is>
          <t>CV generated</t>
        </is>
      </c>
      <c r="K1" s="3" t="inlineStr">
        <is>
          <t>Documents required / notes</t>
        </is>
      </c>
      <c r="L1" s="3" t="inlineStr">
        <is>
          <t>JD read?</t>
        </is>
      </c>
      <c r="M1" s="3" t="inlineStr">
        <is>
          <t>CV file name</t>
        </is>
      </c>
      <c r="N1" s="3" t="inlineStr">
        <is>
          <t>CV folder</t>
        </is>
      </c>
      <c r="O1" s="3" t="inlineStr">
        <is>
          <t>Cover letter (Word)</t>
        </is>
      </c>
      <c r="P1" s="3" t="inlineStr">
        <is>
          <t>Cover letter (PDF)</t>
        </is>
      </c>
      <c r="Q1" s="3" t="inlineStr">
        <is>
          <t>Supporting statement (Word + PDF)</t>
        </is>
      </c>
      <c r="R1" s="3" t="inlineStr">
        <is>
          <t>Other documents the JD asks for</t>
        </is>
      </c>
      <c r="S1" s="3" t="inlineStr">
        <is>
          <t>Cover letter folder</t>
        </is>
      </c>
      <c r="T1" s="3" t="inlineStr">
        <is>
          <t>Link</t>
        </is>
      </c>
      <c r="U1" s="3" t="inlineStr">
        <is>
          <t>Sent / closed note</t>
        </is>
      </c>
    </row>
    <row r="2" ht="18.3" customHeight="1">
      <c r="A2" s="19" t="inlineStr">
        <is>
          <t>☐</t>
        </is>
      </c>
      <c r="B2" s="4" t="inlineStr">
        <is>
          <t>Example India Pvt</t>
        </is>
      </c>
      <c r="C2" s="4" t="inlineStr">
        <is>
          <t>Business Analyst</t>
        </is>
      </c>
      <c r="D2" s="4" t="inlineStr">
        <is>
          <t>Gurugram</t>
        </is>
      </c>
      <c r="E2" s="4" t="inlineStr">
        <is>
          <t>1w ago</t>
        </is>
      </c>
      <c r="F2" s="4" t="n"/>
      <c r="G2" s="4" t="inlineStr">
        <is>
          <t>3</t>
        </is>
      </c>
      <c r="H2" s="4" t="n"/>
      <c r="I2" s="4" t="inlineStr">
        <is>
          <t>Open</t>
        </is>
      </c>
      <c r="J2" s="4" t="inlineStr">
        <is>
          <t>No</t>
        </is>
      </c>
      <c r="K2" s="4" t="n"/>
      <c r="L2" s="4" t="inlineStr">
        <is>
          <t>No</t>
        </is>
      </c>
      <c r="M2" s="4" t="n"/>
      <c r="N2" s="4" t="n"/>
      <c r="O2" s="13" t="n"/>
      <c r="P2" s="13" t="n"/>
      <c r="Q2" s="13" t="n"/>
      <c r="R2" s="13" t="n"/>
      <c r="S2" s="13" t="n"/>
      <c r="T2" s="5" t="n"/>
      <c r="U2" t="inlineStr">
        <is>
          <t>https://example.com/job/456</t>
        </is>
      </c>
    </row>
    <row r="3" ht="18.3" customHeight="1"/>
    <row r="4" ht="18.3" customHeight="1"/>
    <row r="5" ht="18.3" customHeight="1"/>
    <row r="6" ht="18.3" customHeight="1"/>
    <row r="7" ht="18.3" customHeight="1"/>
    <row r="8" ht="18.3" customHeight="1"/>
    <row r="9" ht="18.3" customHeight="1"/>
    <row r="10" ht="18.3" customHeight="1"/>
    <row r="11" ht="18.3" customHeight="1"/>
    <row r="12" ht="18.3" customHeight="1"/>
    <row r="13" ht="18.3" customHeight="1"/>
    <row r="14" ht="18.3" customHeight="1"/>
    <row r="15" ht="18.3" customHeight="1"/>
    <row r="16" ht="18.3" customHeight="1"/>
    <row r="17" ht="18.3" customHeight="1"/>
    <row r="18" ht="18.3" customHeight="1"/>
    <row r="19" ht="18.3" customHeight="1"/>
    <row r="20" ht="18.3" customHeight="1"/>
    <row r="21" ht="18.3" customHeight="1"/>
    <row r="22" ht="18.3" customHeight="1"/>
    <row r="23" ht="18.3" customHeight="1"/>
    <row r="24" ht="18.3" customHeight="1"/>
    <row r="25" ht="18.3" customHeight="1"/>
    <row r="26" ht="18.3" customHeight="1"/>
    <row r="27" ht="18.3" customHeight="1"/>
    <row r="28" ht="18.3" customHeight="1"/>
    <row r="29" ht="18.3" customHeight="1"/>
    <row r="30" ht="18.3" customHeight="1"/>
    <row r="31" ht="18.3" customHeight="1"/>
    <row r="32" ht="18.3" customHeight="1"/>
    <row r="33" ht="18.3" customHeight="1"/>
    <row r="34" ht="18.3" customHeight="1"/>
    <row r="35" ht="18.3" customHeight="1"/>
    <row r="36" ht="18.3" customHeight="1"/>
    <row r="37" ht="18.3" customHeight="1"/>
    <row r="38" ht="18.3" customHeight="1"/>
    <row r="39" ht="18.3" customHeight="1"/>
    <row r="40" ht="18.3" customHeight="1"/>
    <row r="41" ht="18.3" customHeight="1"/>
    <row r="42" ht="18.3" customHeight="1"/>
    <row r="43" ht="18.3" customHeight="1"/>
    <row r="44" ht="18.3" customHeight="1"/>
    <row r="45" ht="18.3" customHeight="1"/>
    <row r="46" ht="18.3" customHeight="1"/>
    <row r="47" ht="18.3" customHeight="1"/>
    <row r="48" ht="18.3" customHeight="1"/>
    <row r="49" ht="18.3" customHeight="1"/>
    <row r="50" ht="18.3" customHeight="1"/>
    <row r="51" ht="18.3" customHeight="1"/>
    <row r="52" ht="18.3" customHeight="1"/>
    <row r="53" ht="18.3" customHeight="1"/>
    <row r="54" ht="18.3" customHeight="1"/>
    <row r="55" ht="18.3" customHeight="1"/>
    <row r="56" ht="18.3" customHeight="1"/>
    <row r="57" ht="18.3" customHeight="1"/>
    <row r="58" ht="18.3" customHeight="1"/>
    <row r="59" ht="18.3" customHeight="1"/>
    <row r="60" ht="18.3" customHeight="1"/>
    <row r="61" ht="18.3" customHeight="1"/>
    <row r="62" ht="18.3" customHeight="1"/>
    <row r="63" ht="18.3" customHeight="1"/>
    <row r="64" ht="18.3" customHeight="1"/>
    <row r="65" ht="18.3" customHeight="1"/>
    <row r="66" ht="18.3" customHeight="1"/>
    <row r="67" ht="18.3" customHeight="1"/>
    <row r="68" ht="18.3" customHeight="1"/>
    <row r="69" ht="18.3" customHeight="1"/>
    <row r="70" ht="18.3" customHeight="1"/>
    <row r="71" ht="18.3" customHeight="1"/>
    <row r="72" ht="18.3" customHeight="1"/>
    <row r="73" ht="18.3" customHeight="1"/>
    <row r="74" ht="18.3" customHeight="1"/>
    <row r="75" ht="18.3" customHeight="1"/>
    <row r="76" ht="18.3" customHeight="1"/>
    <row r="77" ht="18.3" customHeight="1"/>
    <row r="78" ht="18.3" customHeight="1"/>
    <row r="79" ht="18.3" customHeight="1"/>
    <row r="80" ht="18.3" customHeight="1"/>
    <row r="81" ht="18.3" customHeight="1"/>
    <row r="82" ht="18.3" customHeight="1"/>
    <row r="83" ht="18.3" customHeight="1"/>
    <row r="84" ht="18.3" customHeight="1"/>
    <row r="85" ht="18.3" customHeight="1"/>
    <row r="86" ht="18.3" customHeight="1"/>
    <row r="87" ht="18.3" customHeight="1"/>
    <row r="88" ht="18.3" customHeight="1"/>
    <row r="89" ht="18.3" customHeight="1"/>
    <row r="90" ht="18.3" customHeight="1"/>
    <row r="91" ht="18.3" customHeight="1"/>
    <row r="92" ht="18.3" customHeight="1"/>
    <row r="93" ht="18.3" customHeight="1"/>
    <row r="94" ht="18.3" customHeight="1"/>
    <row r="95" ht="18.3" customHeight="1"/>
    <row r="96" ht="18.3" customHeight="1"/>
    <row r="97" ht="18.3" customHeight="1"/>
    <row r="98" ht="18.3" customHeight="1"/>
    <row r="99" ht="18.3" customHeight="1"/>
    <row r="100" ht="18.3" customHeight="1"/>
    <row r="101" ht="18.3" customHeight="1"/>
    <row r="102" ht="18.3" customHeight="1"/>
    <row r="103" ht="18.3" customHeight="1"/>
    <row r="104" ht="18.3" customHeight="1"/>
    <row r="105" ht="18.3" customHeight="1"/>
    <row r="106" ht="18.3" customHeight="1"/>
    <row r="107" ht="18.3" customHeight="1"/>
  </sheetData>
  <autoFilter ref="A1:T125"/>
  <conditionalFormatting sqref="A2:O107">
    <cfRule type="expression" priority="1" dxfId="0">
      <formula>$A2="☑"</formula>
    </cfRule>
  </conditionalFormatting>
  <conditionalFormatting sqref="A2:A125">
    <cfRule type="expression" priority="2" dxfId="7">
      <formula>$A2="☑"</formula>
    </cfRule>
    <cfRule type="expression" priority="3" dxfId="8">
      <formula>LEFT($A2,1)="☒"</formula>
    </cfRule>
  </conditionalFormatting>
  <conditionalFormatting sqref="A300">
    <cfRule type="expression" priority="4" dxfId="7">
      <formula>$A126="☑"</formula>
    </cfRule>
  </conditionalFormatting>
  <dataValidations count="2">
    <dataValidation sqref="A2:A300" showDropDown="0" showInputMessage="0" showErrorMessage="0" allowBlank="1" type="list">
      <formula1>"☐,☑"</formula1>
    </dataValidation>
    <dataValidation sqref="A2:A300" showDropDown="0" showInputMessage="0" showErrorMessage="0" allowBlank="1" error="Pick ☐ (not sent), ☑ (sent) or ☒ Closed" type="list">
      <formula1>"☐,☑,☒ Closed"</formula1>
    </dataValidation>
  </dataValidations>
  <hyperlinks>
    <hyperlink xmlns:r="http://schemas.openxmlformats.org/officeDocument/2006/relationships" ref="O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2" ySplit="1" topLeftCell="V2" activePane="bottomRight" state="frozen"/>
      <selection activeCell="A2" sqref="A2"/>
      <selection pane="topRight" activeCell="A1" sqref="A1"/>
      <selection pane="bottomLeft" activeCell="A1" sqref="A1"/>
      <selection pane="bottomRight" activeCell="C2" sqref="C2"/>
    </sheetView>
  </sheetViews>
  <sheetFormatPr baseColWidth="8" defaultRowHeight="14"/>
  <cols>
    <col width="16" customWidth="1" min="1" max="1"/>
    <col width="32" customWidth="1" min="2" max="2"/>
    <col width="48" customWidth="1" min="3" max="3"/>
    <col width="26" customWidth="1" min="4" max="4"/>
    <col width="18" customWidth="1" min="5" max="5"/>
    <col width="12" customWidth="1" min="6" max="6"/>
    <col width="10" customWidth="1" min="7" max="7"/>
    <col width="16" customWidth="1" min="8" max="8"/>
    <col width="22" customWidth="1" min="9" max="9"/>
    <col width="14" customWidth="1" min="10" max="10"/>
    <col width="52" customWidth="1" min="11" max="11"/>
    <col width="16" customWidth="1" min="12" max="12"/>
    <col width="60" customWidth="1" min="13" max="13"/>
    <col width="48" customWidth="1" min="14" max="14"/>
    <col width="44" customWidth="1" min="15" max="16"/>
    <col width="40" customWidth="1" min="17" max="17"/>
    <col width="46" customWidth="1" min="18" max="18"/>
    <col width="38" customWidth="1" min="19" max="19"/>
    <col width="45" customWidth="1" min="20" max="20"/>
    <col width="60" customWidth="1" min="21" max="21"/>
  </cols>
  <sheetData>
    <row r="1">
      <c r="A1" s="11" t="inlineStr">
        <is>
          <t>Sent / Complete</t>
        </is>
      </c>
      <c r="B1" s="3" t="inlineStr">
        <is>
          <t>Company</t>
        </is>
      </c>
      <c r="C1" s="3" t="inlineStr">
        <is>
          <t>Role</t>
        </is>
      </c>
      <c r="D1" s="3" t="inlineStr">
        <is>
          <t>Location</t>
        </is>
      </c>
      <c r="E1" s="3" t="inlineStr">
        <is>
          <t>Posted</t>
        </is>
      </c>
      <c r="F1" s="3" t="inlineStr">
        <is>
          <t>Deadline</t>
        </is>
      </c>
      <c r="G1" s="3" t="inlineStr">
        <is>
          <t>Fit (1-5)</t>
        </is>
      </c>
      <c r="H1" s="3" t="inlineStr">
        <is>
          <t>Best for company</t>
        </is>
      </c>
      <c r="I1" s="3" t="inlineStr">
        <is>
          <t>Status</t>
        </is>
      </c>
      <c r="J1" s="3" t="inlineStr">
        <is>
          <t>CV generated</t>
        </is>
      </c>
      <c r="K1" s="3" t="inlineStr">
        <is>
          <t>Documents required / notes</t>
        </is>
      </c>
      <c r="L1" s="3" t="inlineStr">
        <is>
          <t>JD read?</t>
        </is>
      </c>
      <c r="M1" s="3" t="inlineStr">
        <is>
          <t>CV file name</t>
        </is>
      </c>
      <c r="N1" s="3" t="inlineStr">
        <is>
          <t>CV folder</t>
        </is>
      </c>
      <c r="O1" s="3" t="inlineStr">
        <is>
          <t>Cover letter (Word)</t>
        </is>
      </c>
      <c r="P1" s="3" t="inlineStr">
        <is>
          <t>Cover letter (PDF)</t>
        </is>
      </c>
      <c r="Q1" s="3" t="inlineStr">
        <is>
          <t>Supporting statement (Word + PDF)</t>
        </is>
      </c>
      <c r="R1" s="3" t="inlineStr">
        <is>
          <t>Other documents the JD asks for</t>
        </is>
      </c>
      <c r="S1" s="3" t="inlineStr">
        <is>
          <t>Cover letter folder</t>
        </is>
      </c>
      <c r="T1" s="3" t="inlineStr">
        <is>
          <t>Link</t>
        </is>
      </c>
      <c r="U1" s="3" t="inlineStr">
        <is>
          <t>Sent / closed note</t>
        </is>
      </c>
    </row>
    <row r="2" ht="18.3" customHeight="1">
      <c r="A2" s="19" t="inlineStr">
        <is>
          <t>☐</t>
        </is>
      </c>
      <c r="B2" t="inlineStr">
        <is>
          <t>Example GmbH</t>
        </is>
      </c>
      <c r="C2" t="inlineStr">
        <is>
          <t>Project Analyst</t>
        </is>
      </c>
      <c r="D2" t="inlineStr">
        <is>
          <t>Berlin</t>
        </is>
      </c>
      <c r="E2" t="inlineStr">
        <is>
          <t>3d ago</t>
        </is>
      </c>
      <c r="G2" t="inlineStr">
        <is>
          <t>2</t>
        </is>
      </c>
      <c r="I2" t="inlineStr">
        <is>
          <t>Open</t>
        </is>
      </c>
      <c r="J2" t="inlineStr">
        <is>
          <t>No</t>
        </is>
      </c>
      <c r="L2" t="inlineStr">
        <is>
          <t>No</t>
        </is>
      </c>
      <c r="O2" s="13" t="n"/>
      <c r="P2" s="13" t="n"/>
      <c r="Q2" s="13" t="n"/>
      <c r="R2" s="13" t="n"/>
      <c r="S2" s="13" t="n"/>
      <c r="T2" s="5" t="n"/>
      <c r="U2" t="inlineStr">
        <is>
          <t>https://example.com/job/789</t>
        </is>
      </c>
    </row>
    <row r="3" ht="18.3" customHeight="1"/>
    <row r="4" ht="18.3" customHeight="1"/>
    <row r="5" ht="18.3" customHeight="1"/>
    <row r="6" ht="18.3" customHeight="1"/>
    <row r="7" ht="18.3" customHeight="1"/>
    <row r="8" ht="18.3" customHeight="1"/>
    <row r="9" ht="18.3" customHeight="1"/>
    <row r="10" ht="18.3" customHeight="1"/>
    <row r="11" ht="18.3" customHeight="1"/>
    <row r="12" ht="18.3" customHeight="1"/>
    <row r="13" ht="18.3" customHeight="1"/>
    <row r="14" ht="18.3" customHeight="1"/>
    <row r="15" ht="18.3" customHeight="1"/>
    <row r="16" ht="18.3" customHeight="1"/>
    <row r="17" ht="18.3" customHeight="1"/>
    <row r="18" ht="18.3" customHeight="1"/>
  </sheetData>
  <autoFilter ref="A1:T20"/>
  <conditionalFormatting sqref="A2:O18">
    <cfRule type="expression" priority="1" dxfId="0">
      <formula>$A2="☑"</formula>
    </cfRule>
  </conditionalFormatting>
  <conditionalFormatting sqref="A2:A20">
    <cfRule type="expression" priority="2" dxfId="7">
      <formula>$A2="☑"</formula>
    </cfRule>
    <cfRule type="expression" priority="3" dxfId="8">
      <formula>LEFT($A2,1)="☒"</formula>
    </cfRule>
  </conditionalFormatting>
  <dataValidations count="2">
    <dataValidation sqref="A2:A18" showDropDown="0" showInputMessage="0" showErrorMessage="0" allowBlank="1" type="list">
      <formula1>"☐,☑"</formula1>
    </dataValidation>
    <dataValidation sqref="A2:A20" showDropDown="0" showInputMessage="0" showErrorMessage="0" allowBlank="1" error="Pick ☐ (not sent), ☑ (sent) or ☒ Closed" type="list">
      <formula1>"☐,☑,☒ Closed"</formula1>
    </dataValidation>
  </dataValidations>
  <hyperlinks>
    <hyperlink xmlns:r="http://schemas.openxmlformats.org/officeDocument/2006/relationships" ref="O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2026-10-14T16:46:21Z</dcterms:created>
  <dcterms:modified xmlns:dcterms="http://purl.org/dc/terms/" xmlns:xsi="http://www.w3.org/2001/XMLSchema-instance" xsi:type="dcterms:W3CDTF">2026-10-25T11:00:49Z</dcterms:modified>
  <cp:lastModifiedBy>Sejal Jindal</cp:lastModifiedBy>
</cp:coreProperties>
</file>